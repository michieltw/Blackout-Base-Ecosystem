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ation" sheetId="1" state="visible" r:id="rId1"/>
    <sheet name="League" sheetId="2" state="visible" r:id="rId2"/>
    <sheet name="Division" sheetId="3" state="visible" r:id="rId3"/>
    <sheet name="Competition" sheetId="4" state="visible" r:id="rId4"/>
    <sheet name="Season" sheetId="5" state="visible" r:id="rId5"/>
    <sheet name="Team" sheetId="6" state="visible" r:id="rId6"/>
    <sheet name="TeamSeason" sheetId="7" state="visible" r:id="rId7"/>
    <sheet name="Player" sheetId="8" state="visible" r:id="rId8"/>
    <sheet name="PlayerTeam" sheetId="9" state="visible" r:id="rId9"/>
    <sheet name="PlayerSeason" sheetId="10" state="visible" r:id="rId10"/>
    <sheet name="Position" sheetId="11" state="visible" r:id="rId11"/>
    <sheet name="Location" sheetId="12" state="visible" r:id="rId12"/>
    <sheet name="Game" sheetId="13" state="visible" r:id="rId13"/>
    <sheet name="GamePlayer" sheetId="14" state="visible" r:id="rId14"/>
    <sheet name="GoalEvent" sheetId="15" state="visible" r:id="rId15"/>
    <sheet name="Penalty" sheetId="16" state="visible" r:id="rId16"/>
    <sheet name="ShotEvent" sheetId="17" state="visible" r:id="rId17"/>
    <sheet name="GamePeriod" sheetId="18" state="visible" r:id="rId18"/>
    <sheet name="GoalieAppearance" sheetId="19" state="visible" r:id="rId19"/>
    <sheet name="PlayerGameStats" sheetId="20" state="visible" r:id="rId20"/>
    <sheet name="TeamGameStats" sheetId="21" state="visible" r:id="rId21"/>
    <sheet name="Tournament" sheetId="22" state="visible" r:id="rId22"/>
    <sheet name="TournamentDivision" sheetId="23" state="visible" r:id="rId23"/>
    <sheet name="TournamentPool" sheetId="24" state="visible" r:id="rId24"/>
    <sheet name="TournamentTeam" sheetId="25" state="visible" r:id="rId25"/>
    <sheet name="TournamentPlayer" sheetId="26" state="visible" r:id="rId26"/>
    <sheet name="TournamentGame" sheetId="27" state="visible" r:id="rId27"/>
    <sheet name="TournamentGoalEvent" sheetId="28" state="visible" r:id="rId28"/>
    <sheet name="TournamentPenalty" sheetId="29" state="visible" r:id="rId29"/>
    <sheet name="Schedule" sheetId="30" state="visible" r:id="rId30"/>
    <sheet name="GameOfficial" sheetId="31" state="visible" r:id="rId31"/>
    <sheet name="Official" sheetId="32" state="visible" r:id="rId32"/>
    <sheet name="Contract" sheetId="33" state="visible" r:id="rId33"/>
    <sheet name="Transfer" sheetId="34" state="visible" r:id="rId34"/>
    <sheet name="Trade" sheetId="35" state="visible" r:id="rId35"/>
    <sheet name="Draft" sheetId="36" state="visible" r:id="rId36"/>
    <sheet name="DraftPick" sheetId="37" state="visible" r:id="rId37"/>
    <sheet name="Salary" sheetId="38" state="visible" r:id="rId38"/>
    <sheet name="SalaryCap" sheetId="39" state="visible" r:id="rId39"/>
    <sheet name="Award" sheetId="40" state="visible" r:id="rId40"/>
    <sheet name="AwardResult" sheetId="41" state="visible" r:id="rId41"/>
    <sheet name="Achievement" sheetId="42" state="visible" r:id="rId42"/>
    <sheet name="PlayerAchievement" sheetId="43" state="visible" r:id="rId43"/>
    <sheet name="TeamAchievement" sheetId="44" state="visible" r:id="rId44"/>
    <sheet name="AllStarEvent" sheetId="45" state="visible" r:id="rId45"/>
    <sheet name="AllStarSelection" sheetId="46" state="visible" r:id="rId46"/>
    <sheet name="Training" sheetId="47" state="visible" r:id="rId47"/>
    <sheet name="TrainingParticipant" sheetId="48" state="visible" r:id="rId48"/>
    <sheet name="Equipment" sheetId="49" state="visible" r:id="rId49"/>
    <sheet name="PlayerEquipment" sheetId="50" state="visible" r:id="rId50"/>
    <sheet name="ScoutingReport" sheetId="51" state="visible" r:id="rId51"/>
    <sheet name="PlayerRating" sheetId="52" state="visible" r:id="rId52"/>
    <sheet name="NewsArticle" sheetId="53" state="visible" r:id="rId53"/>
    <sheet name="Sponsor" sheetId="54" state="visible" r:id="rId54"/>
    <sheet name="TeamSponsor" sheetId="55" state="visible" r:id="rId55"/>
    <sheet name="LeagueSponsor" sheetId="56" state="visible" r:id="rId56"/>
    <sheet name="User" sheetId="57" state="visible" r:id="rId57"/>
    <sheet name="UserTeam" sheetId="58" state="visible" r:id="rId58"/>
    <sheet name="UserLeague" sheetId="59" state="visible" r:id="rId59"/>
    <sheet name="Invitation" sheetId="60" state="visible" r:id="rId60"/>
    <sheet name="AuditLog" sheetId="61" state="visible" r:id="rId61"/>
    <sheet name="Notification" sheetId="62" state="visible" r:id="rId62"/>
    <sheet name="RSVP" sheetId="63" state="visible" r:id="rId63"/>
    <sheet name="Message" sheetId="64" state="visible" r:id="rId64"/>
    <sheet name="Person" sheetId="65" state="visible" r:id="rId65"/>
    <sheet name="Role" sheetId="66" state="visible" r:id="rId66"/>
    <sheet name="UserRole" sheetId="67" state="visible" r:id="rId67"/>
    <sheet name="Permission" sheetId="68" state="visible" r:id="rId68"/>
    <sheet name="RolePermission" sheetId="69" state="visible" r:id="rId69"/>
    <sheet name="Staff" sheetId="70" state="visible" r:id="rId70"/>
    <sheet name="StaffTeam" sheetId="71" state="visible" r:id="rId71"/>
    <sheet name="Injury" sheetId="72" state="visible" r:id="rId72"/>
    <sheet name="Suspension" sheetId="73" state="visible" r:id="rId73"/>
    <sheet name="Standing" sheetId="74" state="visible" r:id="rId74"/>
    <sheet name="PlayoffSeries" sheetId="75" state="visible" r:id="rId75"/>
    <sheet name="Ticket" sheetId="76" state="visible" r:id="rId76"/>
    <sheet name="Faceoff" sheetId="77" state="visible" r:id="rId77"/>
    <sheet name="Shift" sheetId="78" state="visible" r:id="rId78"/>
    <sheet name="Hit" sheetId="79" state="visible" r:id="rId79"/>
    <sheet name="Line" sheetId="80" state="visible" r:id="rId80"/>
    <sheet name="TeamAffiliation" sheetId="81" state="visible" r:id="rId81"/>
    <sheet name="Booking" sheetId="82" state="visible" r:id="rId82"/>
    <sheet name="MediaAsset" sheetId="83" state="visible" r:id="rId83"/>
    <sheet name="RetiredNumber" sheetId="84" state="visible" r:id="rId84"/>
    <sheet name="StandingsTable" sheetId="85" state="visible" r:id="rId85"/>
    <sheet name="PlayerStatsTable" sheetId="86" state="visible" r:id="rId86"/>
    <sheet name="GoalieStatsTable" sheetId="87" state="visible" r:id="rId87"/>
    <sheet name="TeamStatsTable" sheetId="88" state="visible" r:id="rId8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styles" Target="styles.xml" Id="rId89" /><Relationship Type="http://schemas.openxmlformats.org/officeDocument/2006/relationships/theme" Target="theme/theme1.xml" Id="rId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organization_id</t>
        </is>
      </c>
      <c r="C1" t="inlineStr">
        <is>
          <t>name</t>
        </is>
      </c>
      <c r="D1" t="inlineStr">
        <is>
          <t>description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league_id</t>
        </is>
      </c>
      <c r="C1" t="inlineStr">
        <is>
          <t>name</t>
        </is>
      </c>
      <c r="D1" t="inlineStr">
        <is>
          <t>level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league_id</t>
        </is>
      </c>
      <c r="C1" t="inlineStr">
        <is>
          <t>division_id</t>
        </is>
      </c>
      <c r="D1" t="inlineStr">
        <is>
          <t>name</t>
        </is>
      </c>
      <c r="E1" t="inlineStr">
        <is>
          <t>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competition_id</t>
        </is>
      </c>
      <c r="C1" t="inlineStr">
        <is>
          <t>name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short_name</t>
        </is>
      </c>
      <c r="D1" t="inlineStr">
        <is>
          <t>logo_url</t>
        </is>
      </c>
      <c r="E1" t="inlineStr">
        <is>
          <t>description</t>
        </is>
      </c>
      <c r="F1" t="inlineStr">
        <is>
          <t>TeamWins</t>
        </is>
      </c>
      <c r="G1" t="inlineStr">
        <is>
          <t>TeamLosses</t>
        </is>
      </c>
      <c r="H1" t="inlineStr">
        <is>
          <t>TeamTies</t>
        </is>
      </c>
      <c r="I1" t="inlineStr">
        <is>
          <t>TeamOTL</t>
        </is>
      </c>
      <c r="J1" t="inlineStr">
        <is>
          <t>TeamSOL</t>
        </is>
      </c>
      <c r="K1" t="inlineStr">
        <is>
          <t>GoalsFor</t>
        </is>
      </c>
      <c r="L1" t="inlineStr">
        <is>
          <t>GoalsAgainst</t>
        </is>
      </c>
      <c r="M1" t="inlineStr">
        <is>
          <t>GoalDifference</t>
        </is>
      </c>
      <c r="N1" t="inlineStr">
        <is>
          <t>GamesPlayedTeam</t>
        </is>
      </c>
      <c r="O1" t="inlineStr">
        <is>
          <t>WinPercentage</t>
        </is>
      </c>
      <c r="P1" t="inlineStr">
        <is>
          <t>StandingsPoints</t>
        </is>
      </c>
      <c r="Q1" t="inlineStr">
        <is>
          <t>StandingsRank</t>
        </is>
      </c>
    </row>
    <row r="2">
      <c r="A2" t="n">
        <v>1</v>
      </c>
      <c r="B2" t="inlineStr">
        <is>
          <t>Amsterdam Tigers</t>
        </is>
      </c>
      <c r="C2" t="inlineStr">
        <is>
          <t>AMS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Heerenveen Flyers</t>
        </is>
      </c>
      <c r="C3" t="inlineStr">
        <is>
          <t>HEE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Tilburg Trappers</t>
        </is>
      </c>
      <c r="C4" t="inlineStr">
        <is>
          <t>TIL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team_id</t>
        </is>
      </c>
      <c r="C1" t="inlineStr">
        <is>
          <t>season_id</t>
        </is>
      </c>
      <c r="D1" t="inlineStr">
        <is>
          <t>division_id</t>
        </is>
      </c>
      <c r="E1" t="inlineStr">
        <is>
          <t>status</t>
        </is>
      </c>
      <c r="F1" t="inlineStr">
        <is>
          <t>TeamSeasonWins</t>
        </is>
      </c>
      <c r="G1" t="inlineStr">
        <is>
          <t>TeamSeasonLosses</t>
        </is>
      </c>
      <c r="H1" t="inlineStr">
        <is>
          <t>TeamSeasonGoalsFor</t>
        </is>
      </c>
      <c r="I1" t="inlineStr">
        <is>
          <t>TeamSeasonGoalsAgainst</t>
        </is>
      </c>
      <c r="J1" t="inlineStr">
        <is>
          <t>TeamSeasonGoalDifference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position</t>
        </is>
      </c>
      <c r="F1" t="inlineStr">
        <is>
          <t>jersey_number</t>
        </is>
      </c>
      <c r="G1" t="inlineStr">
        <is>
          <t>date_of_birth</t>
        </is>
      </c>
      <c r="H1" t="inlineStr">
        <is>
          <t>nationality</t>
        </is>
      </c>
      <c r="I1" t="inlineStr">
        <is>
          <t>photo_url</t>
        </is>
      </c>
      <c r="J1" t="inlineStr">
        <is>
          <t>bio</t>
        </is>
      </c>
      <c r="K1" t="inlineStr">
        <is>
          <t>status</t>
        </is>
      </c>
      <c r="L1" t="inlineStr">
        <is>
          <t>person_id</t>
        </is>
      </c>
      <c r="M1" t="inlineStr">
        <is>
          <t>GamesPlayed</t>
        </is>
      </c>
      <c r="N1" t="inlineStr">
        <is>
          <t>Goals</t>
        </is>
      </c>
      <c r="O1" t="inlineStr">
        <is>
          <t>Assists</t>
        </is>
      </c>
      <c r="P1" t="inlineStr">
        <is>
          <t>Points</t>
        </is>
      </c>
      <c r="Q1" t="inlineStr">
        <is>
          <t>PlusMinus</t>
        </is>
      </c>
      <c r="R1" t="inlineStr">
        <is>
          <t>GoalsPerGame</t>
        </is>
      </c>
      <c r="S1" t="inlineStr">
        <is>
          <t>AssistsPerGame</t>
        </is>
      </c>
      <c r="T1" t="inlineStr">
        <is>
          <t>PointsPerGame</t>
        </is>
      </c>
    </row>
    <row r="2">
      <c r="A2" t="n">
        <v>1</v>
      </c>
      <c r="B2" t="inlineStr"/>
      <c r="C2" t="inlineStr">
        <is>
          <t>John</t>
        </is>
      </c>
      <c r="D2" t="inlineStr">
        <is>
          <t>Doe</t>
        </is>
      </c>
      <c r="E2" t="inlineStr">
        <is>
          <t>F</t>
        </is>
      </c>
      <c r="F2" t="n">
        <v>10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2</v>
      </c>
      <c r="B3" t="inlineStr"/>
      <c r="C3" t="inlineStr">
        <is>
          <t>Jane</t>
        </is>
      </c>
      <c r="D3" t="inlineStr">
        <is>
          <t>Smith</t>
        </is>
      </c>
      <c r="E3" t="inlineStr">
        <is>
          <t>D</t>
        </is>
      </c>
      <c r="F3" t="n">
        <v>22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3</v>
      </c>
      <c r="B4" t="inlineStr"/>
      <c r="C4" t="inlineStr">
        <is>
          <t>Mike</t>
        </is>
      </c>
      <c r="D4" t="inlineStr">
        <is>
          <t>Johnson</t>
        </is>
      </c>
      <c r="E4" t="inlineStr">
        <is>
          <t>F</t>
        </is>
      </c>
      <c r="F4" t="n">
        <v>91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inlineStr"/>
      <c r="C5" t="inlineStr">
        <is>
          <t>Tom</t>
        </is>
      </c>
      <c r="D5" t="inlineStr">
        <is>
          <t>Williams</t>
        </is>
      </c>
      <c r="E5" t="inlineStr">
        <is>
          <t>G</t>
        </is>
      </c>
      <c r="F5" t="n">
        <v>31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player_id</t>
        </is>
      </c>
      <c r="C1" t="inlineStr">
        <is>
          <t>team_id</t>
        </is>
      </c>
      <c r="D1" t="inlineStr">
        <is>
          <t>start_date</t>
        </is>
      </c>
      <c r="E1" t="inlineStr">
        <is>
          <t>end_date</t>
        </is>
      </c>
      <c r="F1" t="inlineStr">
        <is>
          <t>status</t>
        </is>
      </c>
    </row>
    <row r="2">
      <c r="A2" t="inlineStr"/>
      <c r="B2" t="n">
        <v>1</v>
      </c>
      <c r="C2" t="n">
        <v>1</v>
      </c>
      <c r="D2" t="inlineStr"/>
      <c r="E2" t="inlineStr"/>
      <c r="F2" t="inlineStr"/>
    </row>
    <row r="3">
      <c r="A3" t="inlineStr"/>
      <c r="B3" t="n">
        <v>2</v>
      </c>
      <c r="C3" t="n">
        <v>1</v>
      </c>
      <c r="D3" t="inlineStr"/>
      <c r="E3" t="inlineStr"/>
      <c r="F3" t="inlineStr"/>
    </row>
    <row r="4">
      <c r="A4" t="inlineStr"/>
      <c r="B4" t="n">
        <v>3</v>
      </c>
      <c r="C4" t="n">
        <v>2</v>
      </c>
      <c r="D4" t="inlineStr"/>
      <c r="E4" t="inlineStr"/>
      <c r="F4" t="inlineStr"/>
    </row>
    <row r="5">
      <c r="A5" t="inlineStr"/>
      <c r="B5" t="n">
        <v>4</v>
      </c>
      <c r="C5" t="n">
        <v>3</v>
      </c>
      <c r="D5" t="inlineStr"/>
      <c r="E5" t="inlineStr"/>
      <c r="F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player_id</t>
        </is>
      </c>
      <c r="C1" t="inlineStr">
        <is>
          <t>season_id</t>
        </is>
      </c>
      <c r="D1" t="inlineStr">
        <is>
          <t>team_id</t>
        </is>
      </c>
      <c r="E1" t="inlineStr">
        <is>
          <t>PlayerSeasonGoals</t>
        </is>
      </c>
      <c r="F1" t="inlineStr">
        <is>
          <t>PlayerSeasonAssists</t>
        </is>
      </c>
      <c r="G1" t="inlineStr">
        <is>
          <t>PlayerSeasonPoints</t>
        </is>
      </c>
      <c r="H1" t="inlineStr">
        <is>
          <t>PlayerSeasonGames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address</t>
        </is>
      </c>
      <c r="D1" t="inlineStr">
        <is>
          <t>city</t>
        </is>
      </c>
      <c r="E1" t="inlineStr">
        <is>
          <t>country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season_id</t>
        </is>
      </c>
      <c r="C1" t="inlineStr">
        <is>
          <t>home_team_id</t>
        </is>
      </c>
      <c r="D1" t="inlineStr">
        <is>
          <t>away_team_id</t>
        </is>
      </c>
      <c r="E1" t="inlineStr">
        <is>
          <t>date</t>
        </is>
      </c>
      <c r="F1" t="inlineStr">
        <is>
          <t>location_id</t>
        </is>
      </c>
      <c r="G1" t="inlineStr">
        <is>
          <t>team_score</t>
        </is>
      </c>
      <c r="H1" t="inlineStr">
        <is>
          <t>opponent_score</t>
        </is>
      </c>
      <c r="I1" t="inlineStr">
        <is>
          <t>is_final</t>
        </is>
      </c>
      <c r="J1" t="inlineStr">
        <is>
          <t>is_overtime</t>
        </is>
      </c>
      <c r="K1" t="inlineStr">
        <is>
          <t>is_shootout</t>
        </is>
      </c>
      <c r="L1" t="inlineStr">
        <is>
          <t>shots_for</t>
        </is>
      </c>
      <c r="M1" t="inlineStr">
        <is>
          <t>shots_against</t>
        </is>
      </c>
      <c r="N1" t="inlineStr">
        <is>
          <t>video_url</t>
        </is>
      </c>
      <c r="O1" t="inlineStr">
        <is>
          <t>status</t>
        </is>
      </c>
      <c r="P1" t="inlineStr">
        <is>
          <t>GoalCount</t>
        </is>
      </c>
      <c r="Q1" t="inlineStr">
        <is>
          <t>GoalsAgainst</t>
        </is>
      </c>
      <c r="R1" t="inlineStr">
        <is>
          <t>ShootingPercentage</t>
        </is>
      </c>
      <c r="S1" t="inlineStr">
        <is>
          <t>SavePercentage</t>
        </is>
      </c>
      <c r="T1" t="inlineStr">
        <is>
          <t>PowerPlayGoals</t>
        </is>
      </c>
      <c r="U1" t="inlineStr">
        <is>
          <t>ShortHandedGoals</t>
        </is>
      </c>
    </row>
    <row r="2">
      <c r="A2" t="n">
        <v>1</v>
      </c>
      <c r="B2" t="inlineStr"/>
      <c r="C2" t="n">
        <v>1</v>
      </c>
      <c r="D2" t="n">
        <v>2</v>
      </c>
      <c r="E2" t="inlineStr">
        <is>
          <t>2024-10-01</t>
        </is>
      </c>
      <c r="F2" t="inlineStr"/>
      <c r="G2" t="n">
        <v>3</v>
      </c>
      <c r="H2" t="n">
        <v>2</v>
      </c>
      <c r="I2" t="b">
        <v>1</v>
      </c>
      <c r="J2" t="inlineStr"/>
      <c r="K2" t="inlineStr"/>
      <c r="L2" t="inlineStr"/>
      <c r="M2" t="inlineStr"/>
      <c r="N2" t="inlineStr"/>
      <c r="O2" t="inlineStr">
        <is>
          <t>FINAL</t>
        </is>
      </c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/>
      <c r="C3" t="n">
        <v>3</v>
      </c>
      <c r="D3" t="n">
        <v>1</v>
      </c>
      <c r="E3" t="inlineStr">
        <is>
          <t>2024-10-08</t>
        </is>
      </c>
      <c r="F3" t="inlineStr"/>
      <c r="G3" t="n">
        <v>1</v>
      </c>
      <c r="H3" t="n">
        <v>4</v>
      </c>
      <c r="I3" t="b">
        <v>1</v>
      </c>
      <c r="J3" t="inlineStr"/>
      <c r="K3" t="inlineStr"/>
      <c r="L3" t="inlineStr"/>
      <c r="M3" t="inlineStr"/>
      <c r="N3" t="inlineStr"/>
      <c r="O3" t="inlineStr">
        <is>
          <t>FINAL</t>
        </is>
      </c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/>
      <c r="C4" t="n">
        <v>2</v>
      </c>
      <c r="D4" t="n">
        <v>3</v>
      </c>
      <c r="E4" t="inlineStr">
        <is>
          <t>2024-10-15</t>
        </is>
      </c>
      <c r="F4" t="inlineStr"/>
      <c r="G4" t="n">
        <v>2</v>
      </c>
      <c r="H4" t="n">
        <v>3</v>
      </c>
      <c r="I4" t="b">
        <v>1</v>
      </c>
      <c r="J4" t="inlineStr"/>
      <c r="K4" t="inlineStr"/>
      <c r="L4" t="inlineStr"/>
      <c r="M4" t="inlineStr"/>
      <c r="N4" t="inlineStr"/>
      <c r="O4" t="inlineStr">
        <is>
          <t>FINAL</t>
        </is>
      </c>
      <c r="P4" t="inlineStr"/>
      <c r="Q4" t="inlineStr"/>
      <c r="R4" t="inlineStr"/>
      <c r="S4" t="inlineStr"/>
      <c r="T4" t="inlineStr"/>
      <c r="U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player_id</t>
        </is>
      </c>
      <c r="D1" t="inlineStr">
        <is>
          <t>checked_in</t>
        </is>
      </c>
    </row>
    <row r="2">
      <c r="A2" t="inlineStr"/>
      <c r="B2" t="n">
        <v>1</v>
      </c>
      <c r="C2" t="n">
        <v>1</v>
      </c>
      <c r="D2" t="inlineStr"/>
    </row>
    <row r="3">
      <c r="A3" t="inlineStr"/>
      <c r="B3" t="n">
        <v>1</v>
      </c>
      <c r="C3" t="n">
        <v>2</v>
      </c>
      <c r="D3" t="inlineStr"/>
    </row>
    <row r="4">
      <c r="A4" t="inlineStr"/>
      <c r="B4" t="n">
        <v>1</v>
      </c>
      <c r="C4" t="n">
        <v>3</v>
      </c>
      <c r="D4" t="inlineStr"/>
    </row>
    <row r="5">
      <c r="A5" t="inlineStr"/>
      <c r="B5" t="n">
        <v>2</v>
      </c>
      <c r="C5" t="n">
        <v>1</v>
      </c>
      <c r="D5" t="inlineStr"/>
    </row>
    <row r="6">
      <c r="A6" t="inlineStr"/>
      <c r="B6" t="n">
        <v>2</v>
      </c>
      <c r="C6" t="n">
        <v>4</v>
      </c>
      <c r="D6" t="inlineStr"/>
    </row>
    <row r="7">
      <c r="A7" t="inlineStr"/>
      <c r="B7" t="n">
        <v>3</v>
      </c>
      <c r="C7" t="n">
        <v>3</v>
      </c>
      <c r="D7" t="inlineStr"/>
    </row>
    <row r="8">
      <c r="A8" t="inlineStr"/>
      <c r="B8" t="n">
        <v>3</v>
      </c>
      <c r="C8" t="n">
        <v>4</v>
      </c>
      <c r="D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scorer_player_id</t>
        </is>
      </c>
      <c r="D1" t="inlineStr">
        <is>
          <t>assist_player_id</t>
        </is>
      </c>
      <c r="E1" t="inlineStr">
        <is>
          <t>assist2_player_id</t>
        </is>
      </c>
      <c r="F1" t="inlineStr">
        <is>
          <t>is_power_play</t>
        </is>
      </c>
      <c r="G1" t="inlineStr">
        <is>
          <t>is_short_handed</t>
        </is>
      </c>
      <c r="H1" t="inlineStr">
        <is>
          <t>period</t>
        </is>
      </c>
      <c r="I1" t="inlineStr">
        <is>
          <t>time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inlineStr"/>
      <c r="F2" t="inlineStr"/>
      <c r="G2" t="inlineStr"/>
      <c r="H2" t="n">
        <v>1</v>
      </c>
      <c r="I2" t="inlineStr"/>
    </row>
    <row r="3">
      <c r="A3" t="n">
        <v>2</v>
      </c>
      <c r="B3" t="n">
        <v>1</v>
      </c>
      <c r="C3" t="n">
        <v>1</v>
      </c>
      <c r="D3" t="inlineStr"/>
      <c r="E3" t="inlineStr"/>
      <c r="F3" t="inlineStr"/>
      <c r="G3" t="inlineStr"/>
      <c r="H3" t="n">
        <v>2</v>
      </c>
      <c r="I3" t="inlineStr"/>
    </row>
    <row r="4">
      <c r="A4" t="n">
        <v>3</v>
      </c>
      <c r="B4" t="n">
        <v>1</v>
      </c>
      <c r="C4" t="n">
        <v>3</v>
      </c>
      <c r="D4" t="inlineStr"/>
      <c r="E4" t="inlineStr"/>
      <c r="F4" t="inlineStr"/>
      <c r="G4" t="inlineStr"/>
      <c r="H4" t="n">
        <v>3</v>
      </c>
      <c r="I4" t="inlineStr"/>
    </row>
    <row r="5">
      <c r="A5" t="n">
        <v>4</v>
      </c>
      <c r="B5" t="n">
        <v>2</v>
      </c>
      <c r="C5" t="n">
        <v>1</v>
      </c>
      <c r="D5" t="n">
        <v>2</v>
      </c>
      <c r="E5" t="inlineStr"/>
      <c r="F5" t="inlineStr"/>
      <c r="G5" t="inlineStr"/>
      <c r="H5" t="n">
        <v>1</v>
      </c>
      <c r="I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player_id</t>
        </is>
      </c>
      <c r="D1" t="inlineStr">
        <is>
          <t>penalty_type</t>
        </is>
      </c>
      <c r="E1" t="inlineStr">
        <is>
          <t>period</t>
        </is>
      </c>
      <c r="F1" t="inlineStr">
        <is>
          <t>duration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player_id</t>
        </is>
      </c>
      <c r="D1" t="inlineStr">
        <is>
          <t>goalie_id</t>
        </is>
      </c>
      <c r="E1" t="inlineStr">
        <is>
          <t>period</t>
        </is>
      </c>
      <c r="F1" t="inlineStr">
        <is>
          <t>time</t>
        </is>
      </c>
      <c r="G1" t="inlineStr">
        <is>
          <t>x_coordinate</t>
        </is>
      </c>
      <c r="H1" t="inlineStr">
        <is>
          <t>y_coordinate</t>
        </is>
      </c>
      <c r="I1" t="inlineStr">
        <is>
          <t>shot_type</t>
        </is>
      </c>
      <c r="J1" t="inlineStr">
        <is>
          <t>result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period_number</t>
        </is>
      </c>
      <c r="D1" t="inlineStr">
        <is>
          <t>status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player_id</t>
        </is>
      </c>
      <c r="D1" t="inlineStr">
        <is>
          <t>shots_against</t>
        </is>
      </c>
      <c r="E1" t="inlineStr">
        <is>
          <t>saves</t>
        </is>
      </c>
      <c r="F1" t="inlineStr">
        <is>
          <t>goals_against</t>
        </is>
      </c>
      <c r="G1" t="inlineStr">
        <is>
          <t>time_on_ice_minutes</t>
        </is>
      </c>
      <c r="H1" t="inlineStr">
        <is>
          <t>decision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player_id</t>
        </is>
      </c>
      <c r="D1" t="inlineStr">
        <is>
          <t>goals</t>
        </is>
      </c>
      <c r="E1" t="inlineStr">
        <is>
          <t>assists</t>
        </is>
      </c>
      <c r="F1" t="inlineStr">
        <is>
          <t>points</t>
        </is>
      </c>
      <c r="G1" t="inlineStr">
        <is>
          <t>plus_minus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shots_for</t>
        </is>
      </c>
      <c r="D1" t="inlineStr">
        <is>
          <t>shots_against</t>
        </is>
      </c>
      <c r="E1" t="inlineStr">
        <is>
          <t>goals_for</t>
        </is>
      </c>
      <c r="F1" t="inlineStr">
        <is>
          <t>goals_against</t>
        </is>
      </c>
      <c r="G1" t="inlineStr">
        <is>
          <t>power_play_opportunities</t>
        </is>
      </c>
      <c r="H1" t="inlineStr">
        <is>
          <t>penalty_kill_opportunities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is_public</t>
        </is>
      </c>
      <c r="B1" t="inlineStr">
        <is>
          <t>id</t>
        </is>
      </c>
      <c r="C1" t="inlineStr">
        <is>
          <t>name</t>
        </is>
      </c>
      <c r="D1" t="inlineStr">
        <is>
          <t>description</t>
        </is>
      </c>
      <c r="E1" t="inlineStr">
        <is>
          <t>status</t>
        </is>
      </c>
      <c r="F1" t="inlineStr">
        <is>
          <t>start_date</t>
        </is>
      </c>
      <c r="G1" t="inlineStr">
        <is>
          <t>end_date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tournament_id</t>
        </is>
      </c>
      <c r="C1" t="inlineStr">
        <is>
          <t>name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tournament_id</t>
        </is>
      </c>
      <c r="C1" t="inlineStr">
        <is>
          <t>team_id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tournament_id</t>
        </is>
      </c>
      <c r="C1" t="inlineStr">
        <is>
          <t>player_id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tournament_id</t>
        </is>
      </c>
      <c r="C1" t="inlineStr">
        <is>
          <t>home_team_id</t>
        </is>
      </c>
      <c r="D1" t="inlineStr">
        <is>
          <t>away_team_id</t>
        </is>
      </c>
      <c r="E1" t="inlineStr">
        <is>
          <t>date</t>
        </is>
      </c>
      <c r="F1" t="inlineStr">
        <is>
          <t>status</t>
        </is>
      </c>
      <c r="G1" t="inlineStr">
        <is>
          <t>division_id</t>
        </is>
      </c>
      <c r="H1" t="inlineStr">
        <is>
          <t>game_type</t>
        </is>
      </c>
      <c r="I1" t="inlineStr">
        <is>
          <t>away_score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scorer_player_id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player_id</t>
        </is>
      </c>
      <c r="D1" t="inlineStr">
        <is>
          <t>penalty_type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season_id</t>
        </is>
      </c>
      <c r="C1" t="inlineStr">
        <is>
          <t>home_team_id</t>
        </is>
      </c>
      <c r="D1" t="inlineStr">
        <is>
          <t>away_team_id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official_id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role</t>
        </is>
      </c>
      <c r="D1" t="inlineStr">
        <is>
          <t>person_id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player_id</t>
        </is>
      </c>
      <c r="C1" t="inlineStr">
        <is>
          <t>team_id</t>
        </is>
      </c>
      <c r="D1" t="inlineStr">
        <is>
          <t>start_date</t>
        </is>
      </c>
      <c r="E1" t="inlineStr">
        <is>
          <t>end_date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player_id</t>
        </is>
      </c>
      <c r="C1" t="inlineStr">
        <is>
          <t>from_team_id</t>
        </is>
      </c>
      <c r="D1" t="inlineStr">
        <is>
          <t>to_team_id</t>
        </is>
      </c>
      <c r="E1" t="inlineStr">
        <is>
          <t>date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status</t>
        </is>
      </c>
      <c r="D1" t="inlineStr">
        <is>
          <t>description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season_id</t>
        </is>
      </c>
      <c r="C1" t="inlineStr">
        <is>
          <t>name</t>
        </is>
      </c>
      <c r="D1" t="inlineStr">
        <is>
          <t>status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draft_id</t>
        </is>
      </c>
      <c r="C1" t="inlineStr">
        <is>
          <t>team_id</t>
        </is>
      </c>
      <c r="D1" t="inlineStr">
        <is>
          <t>player_id</t>
        </is>
      </c>
      <c r="E1" t="inlineStr">
        <is>
          <t>round</t>
        </is>
      </c>
      <c r="F1" t="inlineStr">
        <is>
          <t>pick_number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player_id</t>
        </is>
      </c>
      <c r="C1" t="inlineStr">
        <is>
          <t>team_id</t>
        </is>
      </c>
      <c r="D1" t="inlineStr">
        <is>
          <t>season_id</t>
        </is>
      </c>
      <c r="E1" t="inlineStr">
        <is>
          <t>amount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season_id</t>
        </is>
      </c>
      <c r="C1" t="inlineStr">
        <is>
          <t>amount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award_id</t>
        </is>
      </c>
      <c r="C1" t="inlineStr">
        <is>
          <t>player_id</t>
        </is>
      </c>
      <c r="D1" t="inlineStr">
        <is>
          <t>team_id</t>
        </is>
      </c>
      <c r="E1" t="inlineStr">
        <is>
          <t>season_id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player_id</t>
        </is>
      </c>
      <c r="C1" t="inlineStr">
        <is>
          <t>achievement_id</t>
        </is>
      </c>
      <c r="D1" t="inlineStr">
        <is>
          <t>season_id</t>
        </is>
      </c>
      <c r="E1" t="inlineStr">
        <is>
          <t>earned_at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team_id</t>
        </is>
      </c>
      <c r="C1" t="inlineStr">
        <is>
          <t>achievement_id</t>
        </is>
      </c>
      <c r="D1" t="inlineStr">
        <is>
          <t>season_id</t>
        </is>
      </c>
      <c r="E1" t="inlineStr">
        <is>
          <t>earned_at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season_id</t>
        </is>
      </c>
      <c r="D1" t="inlineStr">
        <is>
          <t>date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event_id</t>
        </is>
      </c>
      <c r="C1" t="inlineStr">
        <is>
          <t>player_id</t>
        </is>
      </c>
      <c r="D1" t="inlineStr">
        <is>
          <t>position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team_id</t>
        </is>
      </c>
      <c r="C1" t="inlineStr">
        <is>
          <t>season_id</t>
        </is>
      </c>
      <c r="D1" t="inlineStr">
        <is>
          <t>location_id</t>
        </is>
      </c>
      <c r="E1" t="inlineStr">
        <is>
          <t>date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training_id</t>
        </is>
      </c>
      <c r="C1" t="inlineStr">
        <is>
          <t>player_id</t>
        </is>
      </c>
      <c r="D1" t="inlineStr">
        <is>
          <t>status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description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player_id</t>
        </is>
      </c>
      <c r="C1" t="inlineStr">
        <is>
          <t>equipment_id</t>
        </is>
      </c>
      <c r="D1" t="inlineStr">
        <is>
          <t>start_date</t>
        </is>
      </c>
      <c r="E1" t="inlineStr">
        <is>
          <t>end_date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player_id</t>
        </is>
      </c>
      <c r="C1" t="inlineStr">
        <is>
          <t>author_user_id</t>
        </is>
      </c>
      <c r="D1" t="inlineStr">
        <is>
          <t>date</t>
        </is>
      </c>
      <c r="E1" t="inlineStr">
        <is>
          <t>content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player_id</t>
        </is>
      </c>
      <c r="C1" t="inlineStr">
        <is>
          <t>rater_user_id</t>
        </is>
      </c>
      <c r="D1" t="inlineStr">
        <is>
          <t>rating</t>
        </is>
      </c>
      <c r="E1" t="inlineStr">
        <is>
          <t>date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content</t>
        </is>
      </c>
      <c r="D1" t="inlineStr">
        <is>
          <t>author_user_id</t>
        </is>
      </c>
      <c r="E1" t="inlineStr">
        <is>
          <t>published_at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website</t>
        </is>
      </c>
      <c r="D1" t="inlineStr">
        <is>
          <t>logo_url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team_id</t>
        </is>
      </c>
      <c r="C1" t="inlineStr">
        <is>
          <t>sponsor_id</t>
        </is>
      </c>
      <c r="D1" t="inlineStr">
        <is>
          <t>start_date</t>
        </is>
      </c>
      <c r="E1" t="inlineStr">
        <is>
          <t>end_date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league_id</t>
        </is>
      </c>
      <c r="C1" t="inlineStr">
        <is>
          <t>sponsor_id</t>
        </is>
      </c>
      <c r="D1" t="inlineStr">
        <is>
          <t>start_date</t>
        </is>
      </c>
      <c r="E1" t="inlineStr">
        <is>
          <t>end_date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status</t>
        </is>
      </c>
      <c r="F1" t="inlineStr">
        <is>
          <t>person_id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team_id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league_id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role</t>
        </is>
      </c>
      <c r="D1" t="inlineStr">
        <is>
          <t>status</t>
        </is>
      </c>
      <c r="E1" t="inlineStr">
        <is>
          <t>expires_at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user_id</t>
        </is>
      </c>
      <c r="D1" t="inlineStr">
        <is>
          <t>action</t>
        </is>
      </c>
      <c r="E1" t="inlineStr">
        <is>
          <t>entity</t>
        </is>
      </c>
      <c r="F1" t="inlineStr">
        <is>
          <t>record_id</t>
        </is>
      </c>
      <c r="G1" t="inlineStr">
        <is>
          <t>reason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type</t>
        </is>
      </c>
      <c r="D1" t="inlineStr">
        <is>
          <t>message</t>
        </is>
      </c>
      <c r="E1" t="inlineStr">
        <is>
          <t>read_at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event_type</t>
        </is>
      </c>
      <c r="D1" t="inlineStr">
        <is>
          <t>event_id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sender_user_id</t>
        </is>
      </c>
      <c r="C1" t="inlineStr">
        <is>
          <t>receiver_user_id</t>
        </is>
      </c>
      <c r="D1" t="inlineStr">
        <is>
          <t>content</t>
        </is>
      </c>
      <c r="E1" t="inlineStr">
        <is>
          <t>sent_at</t>
        </is>
      </c>
      <c r="F1" t="inlineStr">
        <is>
          <t>read_at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date_of_birth</t>
        </is>
      </c>
      <c r="E1" t="inlineStr">
        <is>
          <t>nationality</t>
        </is>
      </c>
      <c r="F1" t="inlineStr">
        <is>
          <t>gender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role_id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role_id</t>
        </is>
      </c>
      <c r="C1" t="inlineStr">
        <is>
          <t>permission_id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person_id</t>
        </is>
      </c>
      <c r="C1" t="inlineStr">
        <is>
          <t>role_type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staff_id</t>
        </is>
      </c>
      <c r="C1" t="inlineStr">
        <is>
          <t>team_id</t>
        </is>
      </c>
      <c r="D1" t="inlineStr">
        <is>
          <t>season_id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person_id</t>
        </is>
      </c>
      <c r="C1" t="inlineStr">
        <is>
          <t>description</t>
        </is>
      </c>
      <c r="D1" t="inlineStr">
        <is>
          <t>injury_date</t>
        </is>
      </c>
      <c r="E1" t="inlineStr">
        <is>
          <t>expected_return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person_id</t>
        </is>
      </c>
      <c r="C1" t="inlineStr">
        <is>
          <t>game_count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competition_id</t>
        </is>
      </c>
      <c r="C1" t="inlineStr">
        <is>
          <t>team_id</t>
        </is>
      </c>
      <c r="D1" t="inlineStr">
        <is>
          <t>points</t>
        </is>
      </c>
      <c r="E1" t="inlineStr">
        <is>
          <t>games_played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x_coordinate</t>
        </is>
      </c>
      <c r="D1" t="inlineStr">
        <is>
          <t>y_coordinate</t>
        </is>
      </c>
      <c r="E1" t="inlineStr">
        <is>
          <t>won_by_player_id</t>
        </is>
      </c>
      <c r="F1" t="inlineStr">
        <is>
          <t>lost_by_player_id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player_id</t>
        </is>
      </c>
      <c r="D1" t="inlineStr">
        <is>
          <t>start_time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parent_team_id</t>
        </is>
      </c>
      <c r="C1" t="inlineStr">
        <is>
          <t>affiliate_team_id</t>
        </is>
      </c>
      <c r="D1" t="inlineStr">
        <is>
          <t>start_date</t>
        </is>
      </c>
      <c r="E1" t="inlineStr">
        <is>
          <t>end_date</t>
        </is>
      </c>
      <c r="F1" t="inlineStr">
        <is>
          <t>affiliation_type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GP</t>
        </is>
      </c>
      <c r="D1" t="inlineStr">
        <is>
          <t>W</t>
        </is>
      </c>
      <c r="E1" t="inlineStr">
        <is>
          <t>L</t>
        </is>
      </c>
      <c r="F1" t="inlineStr">
        <is>
          <t>OT</t>
        </is>
      </c>
      <c r="G1" t="inlineStr">
        <is>
          <t>PTS</t>
        </is>
      </c>
      <c r="H1" t="inlineStr">
        <is>
          <t>P%</t>
        </is>
      </c>
      <c r="I1" t="inlineStr">
        <is>
          <t>RW</t>
        </is>
      </c>
      <c r="J1" t="inlineStr">
        <is>
          <t>ROW</t>
        </is>
      </c>
      <c r="K1" t="inlineStr">
        <is>
          <t>GF</t>
        </is>
      </c>
      <c r="L1" t="inlineStr">
        <is>
          <t>GA</t>
        </is>
      </c>
      <c r="M1" t="inlineStr">
        <is>
          <t>DIFF</t>
        </is>
      </c>
      <c r="N1" t="inlineStr">
        <is>
          <t>HOME</t>
        </is>
      </c>
      <c r="O1" t="inlineStr">
        <is>
          <t>AWAY</t>
        </is>
      </c>
      <c r="P1" t="inlineStr">
        <is>
          <t>S/O</t>
        </is>
      </c>
      <c r="Q1" t="inlineStr">
        <is>
          <t>L10</t>
        </is>
      </c>
      <c r="R1" t="inlineStr">
        <is>
          <t>STRK</t>
        </is>
      </c>
    </row>
    <row r="2">
      <c r="A2">
        <f>RANK(G2, G$2:G$4)</f>
        <v/>
      </c>
      <c r="B2">
        <f>Team!B2</f>
        <v/>
      </c>
      <c r="C2">
        <f>COUNTIFS(Game!C:C, Team!A2, Game!I:I, TRUE) + COUNTIFS(Game!D:D, Team!A2, Game!I:I, TRUE)</f>
        <v/>
      </c>
      <c r="D2">
        <f>SUMPRODUCT((Game!C:C=Team!A2)*(Game!I:I=TRUE)*(Game!G:G&gt;Game!H:H)) + SUMPRODUCT((Game!D:D=Team!A2)*(Game!I:I=TRUE)*(Game!H:H&gt;Game!G:G))</f>
        <v/>
      </c>
      <c r="E2">
        <f>SUMPRODUCT((Game!C:C=Team!A2)*(Game!I:I=TRUE)*(Game!G:G&lt;Game!H:H)) + SUMPRODUCT((Game!D:D=Team!A2)*(Game!I:I=TRUE)*(Game!H:H&lt;Game!G:G))</f>
        <v/>
      </c>
      <c r="F2" t="inlineStr"/>
      <c r="G2">
        <f>((SUMPRODUCT((Game!C:C=Team!A2)*(Game!I:I=TRUE)*(Game!G:G&gt;Game!H:H)) + SUMPRODUCT((Game!D:D=Team!A2)*(Game!I:I=TRUE)*(Game!H:H&gt;Game!G:G))) * 3)</f>
        <v/>
      </c>
      <c r="H2" t="inlineStr"/>
      <c r="I2" t="inlineStr"/>
      <c r="J2" t="inlineStr"/>
      <c r="K2">
        <f>SUMIFS(Game!G:G, Game!C:C, Team!A2) + SUMIFS(Game!H:H, Game!D:D, Team!A2)</f>
        <v/>
      </c>
      <c r="L2">
        <f>SUMIFS(Game!H:H, Game!C:C, Team!A2) + SUMIFS(Game!G:G, Game!D:D, Team!A2)</f>
        <v/>
      </c>
      <c r="M2">
        <f>K2 - L2</f>
        <v/>
      </c>
      <c r="N2" t="inlineStr"/>
      <c r="O2" t="inlineStr"/>
      <c r="P2" t="inlineStr"/>
      <c r="Q2" t="inlineStr"/>
      <c r="R2" t="inlineStr"/>
    </row>
    <row r="3">
      <c r="A3">
        <f>RANK(G3, G$2:G$4)</f>
        <v/>
      </c>
      <c r="B3">
        <f>Team!B3</f>
        <v/>
      </c>
      <c r="C3">
        <f>COUNTIFS(Game!C:C, Team!A3, Game!I:I, TRUE) + COUNTIFS(Game!D:D, Team!A3, Game!I:I, TRUE)</f>
        <v/>
      </c>
      <c r="D3">
        <f>SUMPRODUCT((Game!C:C=Team!A3)*(Game!I:I=TRUE)*(Game!G:G&gt;Game!H:H)) + SUMPRODUCT((Game!D:D=Team!A3)*(Game!I:I=TRUE)*(Game!H:H&gt;Game!G:G))</f>
        <v/>
      </c>
      <c r="E3">
        <f>SUMPRODUCT((Game!C:C=Team!A3)*(Game!I:I=TRUE)*(Game!G:G&lt;Game!H:H)) + SUMPRODUCT((Game!D:D=Team!A3)*(Game!I:I=TRUE)*(Game!H:H&lt;Game!G:G))</f>
        <v/>
      </c>
      <c r="F3" t="inlineStr"/>
      <c r="G3">
        <f>((SUMPRODUCT((Game!C:C=Team!A3)*(Game!I:I=TRUE)*(Game!G:G&gt;Game!H:H)) + SUMPRODUCT((Game!D:D=Team!A3)*(Game!I:I=TRUE)*(Game!H:H&gt;Game!G:G))) * 3)</f>
        <v/>
      </c>
      <c r="H3" t="inlineStr"/>
      <c r="I3" t="inlineStr"/>
      <c r="J3" t="inlineStr"/>
      <c r="K3">
        <f>SUMIFS(Game!G:G, Game!C:C, Team!A3) + SUMIFS(Game!H:H, Game!D:D, Team!A3)</f>
        <v/>
      </c>
      <c r="L3">
        <f>SUMIFS(Game!H:H, Game!C:C, Team!A3) + SUMIFS(Game!G:G, Game!D:D, Team!A3)</f>
        <v/>
      </c>
      <c r="M3">
        <f>K3 - L3</f>
        <v/>
      </c>
      <c r="N3" t="inlineStr"/>
      <c r="O3" t="inlineStr"/>
      <c r="P3" t="inlineStr"/>
      <c r="Q3" t="inlineStr"/>
      <c r="R3" t="inlineStr"/>
    </row>
    <row r="4">
      <c r="A4">
        <f>RANK(G4, G$2:G$4)</f>
        <v/>
      </c>
      <c r="B4">
        <f>Team!B4</f>
        <v/>
      </c>
      <c r="C4">
        <f>COUNTIFS(Game!C:C, Team!A4, Game!I:I, TRUE) + COUNTIFS(Game!D:D, Team!A4, Game!I:I, TRUE)</f>
        <v/>
      </c>
      <c r="D4">
        <f>SUMPRODUCT((Game!C:C=Team!A4)*(Game!I:I=TRUE)*(Game!G:G&gt;Game!H:H)) + SUMPRODUCT((Game!D:D=Team!A4)*(Game!I:I=TRUE)*(Game!H:H&gt;Game!G:G))</f>
        <v/>
      </c>
      <c r="E4">
        <f>SUMPRODUCT((Game!C:C=Team!A4)*(Game!I:I=TRUE)*(Game!G:G&lt;Game!H:H)) + SUMPRODUCT((Game!D:D=Team!A4)*(Game!I:I=TRUE)*(Game!H:H&lt;Game!G:G))</f>
        <v/>
      </c>
      <c r="F4" t="inlineStr"/>
      <c r="G4">
        <f>((SUMPRODUCT((Game!C:C=Team!A4)*(Game!I:I=TRUE)*(Game!G:G&gt;Game!H:H)) + SUMPRODUCT((Game!D:D=Team!A4)*(Game!I:I=TRUE)*(Game!H:H&gt;Game!G:G))) * 3)</f>
        <v/>
      </c>
      <c r="H4" t="inlineStr"/>
      <c r="I4" t="inlineStr"/>
      <c r="J4" t="inlineStr"/>
      <c r="K4">
        <f>SUMIFS(Game!G:G, Game!C:C, Team!A4) + SUMIFS(Game!H:H, Game!D:D, Team!A4)</f>
        <v/>
      </c>
      <c r="L4">
        <f>SUMIFS(Game!H:H, Game!C:C, Team!A4) + SUMIFS(Game!G:G, Game!D:D, Team!A4)</f>
        <v/>
      </c>
      <c r="M4">
        <f>K4 - L4</f>
        <v/>
      </c>
      <c r="N4" t="inlineStr"/>
      <c r="O4" t="inlineStr"/>
      <c r="P4" t="inlineStr"/>
      <c r="Q4" t="inlineStr"/>
      <c r="R4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</t>
        </is>
      </c>
      <c r="B1" t="inlineStr">
        <is>
          <t>Player</t>
        </is>
      </c>
      <c r="C1" t="inlineStr">
        <is>
          <t>Team</t>
        </is>
      </c>
      <c r="D1" t="inlineStr">
        <is>
          <t>GP</t>
        </is>
      </c>
      <c r="E1" t="inlineStr">
        <is>
          <t>G</t>
        </is>
      </c>
      <c r="F1" t="inlineStr">
        <is>
          <t>A</t>
        </is>
      </c>
      <c r="G1" t="inlineStr">
        <is>
          <t>PTS</t>
        </is>
      </c>
      <c r="H1" t="inlineStr">
        <is>
          <t>PIM</t>
        </is>
      </c>
    </row>
    <row r="2">
      <c r="A2">
        <f>RANK(G2, G$2:G$5)</f>
        <v/>
      </c>
      <c r="B2">
        <f>Player!C2 &amp; " " &amp; Player!D2</f>
        <v/>
      </c>
      <c r="C2" t="inlineStr"/>
      <c r="D2" t="inlineStr"/>
      <c r="E2">
        <f>COUNTIFS(GoalEvent!C:C, Player!A2)</f>
        <v/>
      </c>
      <c r="F2">
        <f>COUNTIFS(GoalEvent!D:D, Player!A2)</f>
        <v/>
      </c>
      <c r="G2">
        <f>E2 + F2</f>
        <v/>
      </c>
      <c r="H2" t="inlineStr"/>
    </row>
    <row r="3">
      <c r="A3">
        <f>RANK(G3, G$2:G$5)</f>
        <v/>
      </c>
      <c r="B3">
        <f>Player!C3 &amp; " " &amp; Player!D3</f>
        <v/>
      </c>
      <c r="C3" t="inlineStr"/>
      <c r="D3" t="inlineStr"/>
      <c r="E3">
        <f>COUNTIFS(GoalEvent!C:C, Player!A3)</f>
        <v/>
      </c>
      <c r="F3">
        <f>COUNTIFS(GoalEvent!D:D, Player!A3)</f>
        <v/>
      </c>
      <c r="G3">
        <f>E3 + F3</f>
        <v/>
      </c>
      <c r="H3" t="inlineStr"/>
    </row>
    <row r="4">
      <c r="A4">
        <f>RANK(G4, G$2:G$5)</f>
        <v/>
      </c>
      <c r="B4">
        <f>Player!C4 &amp; " " &amp; Player!D4</f>
        <v/>
      </c>
      <c r="C4" t="inlineStr"/>
      <c r="D4" t="inlineStr"/>
      <c r="E4">
        <f>COUNTIFS(GoalEvent!C:C, Player!A4)</f>
        <v/>
      </c>
      <c r="F4">
        <f>COUNTIFS(GoalEvent!D:D, Player!A4)</f>
        <v/>
      </c>
      <c r="G4">
        <f>E4 + F4</f>
        <v/>
      </c>
      <c r="H4" t="inlineStr"/>
    </row>
    <row r="5">
      <c r="A5">
        <f>RANK(G5, G$2:G$5)</f>
        <v/>
      </c>
      <c r="B5">
        <f>Player!C5 &amp; " " &amp; Player!D5</f>
        <v/>
      </c>
      <c r="C5" t="inlineStr"/>
      <c r="D5" t="inlineStr"/>
      <c r="E5">
        <f>COUNTIFS(GoalEvent!C:C, Player!A5)</f>
        <v/>
      </c>
      <c r="F5">
        <f>COUNTIFS(GoalEvent!D:D, Player!A5)</f>
        <v/>
      </c>
      <c r="G5">
        <f>E5 + F5</f>
        <v/>
      </c>
      <c r="H5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</t>
        </is>
      </c>
      <c r="B1" t="inlineStr">
        <is>
          <t>Player</t>
        </is>
      </c>
      <c r="C1" t="inlineStr">
        <is>
          <t>Team</t>
        </is>
      </c>
      <c r="D1" t="inlineStr">
        <is>
          <t>GP</t>
        </is>
      </c>
      <c r="E1" t="inlineStr">
        <is>
          <t>W</t>
        </is>
      </c>
      <c r="F1" t="inlineStr">
        <is>
          <t>L</t>
        </is>
      </c>
      <c r="G1" t="inlineStr">
        <is>
          <t>GAA</t>
        </is>
      </c>
      <c r="H1" t="inlineStr">
        <is>
          <t>SV%</t>
        </is>
      </c>
      <c r="I1" t="inlineStr">
        <is>
          <t>SO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</t>
        </is>
      </c>
      <c r="B1" t="inlineStr">
        <is>
          <t>Franchise</t>
        </is>
      </c>
      <c r="C1" t="inlineStr">
        <is>
          <t>GP</t>
        </is>
      </c>
      <c r="D1" t="inlineStr">
        <is>
          <t>W</t>
        </is>
      </c>
      <c r="E1" t="inlineStr">
        <is>
          <t>L</t>
        </is>
      </c>
      <c r="F1" t="inlineStr">
        <is>
          <t>OTL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PP%</t>
        </is>
      </c>
      <c r="K1" t="inlineStr">
        <is>
          <t>PK%</t>
        </is>
      </c>
      <c r="L1" t="inlineStr">
        <is>
          <t>PTS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2026-08-10T11:38:11Z</dcterms:created>
  <dcterms:modified xsi:type="dcterms:W3CDTF">2026-08-10T11:38:11Z</dcterms:modified>
</cp:coreProperties>
</file>